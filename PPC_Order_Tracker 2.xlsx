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Data Science and AI Course\Excel\Projects\"/>
    </mc:Choice>
  </mc:AlternateContent>
  <xr:revisionPtr revIDLastSave="0" documentId="13_ncr:1_{358E2D8B-95E5-4439-8646-E21B87E0F941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Parts Tracker" sheetId="2" r:id="rId2"/>
    <sheet name="Project Summary" sheetId="3" r:id="rId3"/>
    <sheet name="Machine Loa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4" i="2" l="1"/>
  <c r="C12" i="4"/>
  <c r="D12" i="4" s="1"/>
  <c r="C11" i="4"/>
  <c r="E11" i="4" s="1"/>
  <c r="C10" i="4"/>
  <c r="E10" i="4" s="1"/>
  <c r="C9" i="4"/>
  <c r="E9" i="4" s="1"/>
  <c r="C8" i="4"/>
  <c r="D8" i="4" s="1"/>
  <c r="C7" i="4"/>
  <c r="E7" i="4" s="1"/>
  <c r="C6" i="4"/>
  <c r="E6" i="4" s="1"/>
  <c r="C5" i="4"/>
  <c r="D5" i="4" s="1"/>
  <c r="C4" i="4"/>
  <c r="E4" i="4" s="1"/>
  <c r="C3" i="4"/>
  <c r="D3" i="4" s="1"/>
  <c r="C2" i="4"/>
  <c r="E2" i="4" s="1"/>
  <c r="J6" i="3"/>
  <c r="E6" i="3"/>
  <c r="J5" i="3"/>
  <c r="E5" i="3"/>
  <c r="J4" i="3"/>
  <c r="E4" i="3"/>
  <c r="J3" i="3"/>
  <c r="E3" i="3"/>
  <c r="J2" i="3"/>
  <c r="E2" i="3"/>
  <c r="V14" i="2"/>
  <c r="U14" i="2"/>
  <c r="AA14" i="2" s="1"/>
  <c r="T14" i="2"/>
  <c r="S14" i="2"/>
  <c r="V13" i="2"/>
  <c r="U13" i="2"/>
  <c r="AA13" i="2" s="1"/>
  <c r="T13" i="2"/>
  <c r="S13" i="2"/>
  <c r="V12" i="2"/>
  <c r="U12" i="2"/>
  <c r="T12" i="2"/>
  <c r="S12" i="2"/>
  <c r="V11" i="2"/>
  <c r="U11" i="2"/>
  <c r="W11" i="2" s="1"/>
  <c r="X11" i="2" s="1"/>
  <c r="T11" i="2"/>
  <c r="S11" i="2"/>
  <c r="V10" i="2"/>
  <c r="U10" i="2"/>
  <c r="AA10" i="2" s="1"/>
  <c r="T10" i="2"/>
  <c r="S10" i="2"/>
  <c r="V9" i="2"/>
  <c r="U9" i="2"/>
  <c r="AA9" i="2" s="1"/>
  <c r="T9" i="2"/>
  <c r="S9" i="2"/>
  <c r="V8" i="2"/>
  <c r="U8" i="2"/>
  <c r="AA8" i="2" s="1"/>
  <c r="T8" i="2"/>
  <c r="S8" i="2"/>
  <c r="V7" i="2"/>
  <c r="U7" i="2"/>
  <c r="AA7" i="2" s="1"/>
  <c r="T7" i="2"/>
  <c r="S7" i="2"/>
  <c r="V6" i="2"/>
  <c r="U6" i="2"/>
  <c r="AA6" i="2" s="1"/>
  <c r="T6" i="2"/>
  <c r="S6" i="2"/>
  <c r="V5" i="2"/>
  <c r="U5" i="2"/>
  <c r="AA5" i="2" s="1"/>
  <c r="T5" i="2"/>
  <c r="S5" i="2"/>
  <c r="V4" i="2"/>
  <c r="U4" i="2"/>
  <c r="S4" i="2"/>
  <c r="V3" i="2"/>
  <c r="U3" i="2"/>
  <c r="T3" i="2"/>
  <c r="S3" i="2"/>
  <c r="W10" i="2" l="1"/>
  <c r="X10" i="2" s="1"/>
  <c r="W5" i="2"/>
  <c r="X5" i="2" s="1"/>
  <c r="W9" i="2"/>
  <c r="X9" i="2" s="1"/>
  <c r="F3" i="3"/>
  <c r="G3" i="3" s="1"/>
  <c r="W6" i="2"/>
  <c r="X6" i="2" s="1"/>
  <c r="W13" i="2"/>
  <c r="X13" i="2" s="1"/>
  <c r="E8" i="4"/>
  <c r="Y7" i="2"/>
  <c r="Z7" i="2" s="1"/>
  <c r="Y14" i="2"/>
  <c r="Z14" i="2" s="1"/>
  <c r="D9" i="4"/>
  <c r="E5" i="4"/>
  <c r="W14" i="2"/>
  <c r="X14" i="2" s="1"/>
  <c r="D6" i="4"/>
  <c r="D7" i="4"/>
  <c r="D11" i="4"/>
  <c r="E12" i="4"/>
  <c r="E3" i="4"/>
  <c r="D4" i="4"/>
  <c r="F6" i="3"/>
  <c r="Y13" i="2"/>
  <c r="Z13" i="2" s="1"/>
  <c r="F4" i="3"/>
  <c r="Y8" i="2"/>
  <c r="Z8" i="2" s="1"/>
  <c r="Y9" i="2"/>
  <c r="Z9" i="2" s="1"/>
  <c r="Y10" i="2"/>
  <c r="Z10" i="2" s="1"/>
  <c r="AA3" i="2"/>
  <c r="W7" i="2"/>
  <c r="X7" i="2" s="1"/>
  <c r="AA11" i="2"/>
  <c r="D2" i="4"/>
  <c r="D10" i="4"/>
  <c r="AA4" i="2"/>
  <c r="Y6" i="2"/>
  <c r="Z6" i="2" s="1"/>
  <c r="W8" i="2"/>
  <c r="X8" i="2" s="1"/>
  <c r="AA12" i="2"/>
  <c r="W3" i="2"/>
  <c r="X3" i="2" s="1"/>
  <c r="W4" i="2"/>
  <c r="X4" i="2" s="1"/>
  <c r="W12" i="2"/>
  <c r="X12" i="2" s="1"/>
  <c r="K3" i="3" l="1"/>
  <c r="Y12" i="2"/>
  <c r="Z12" i="2" s="1"/>
  <c r="Y4" i="2"/>
  <c r="Z4" i="2" s="1"/>
  <c r="Y11" i="2"/>
  <c r="Z11" i="2" s="1"/>
  <c r="F5" i="3"/>
  <c r="Y3" i="2"/>
  <c r="Z3" i="2" s="1"/>
  <c r="F2" i="3"/>
  <c r="G4" i="3"/>
  <c r="K4" i="3"/>
  <c r="K6" i="3"/>
  <c r="G6" i="3"/>
  <c r="Y5" i="2"/>
  <c r="Z5" i="2" s="1"/>
  <c r="G2" i="3" l="1"/>
  <c r="K2" i="3"/>
  <c r="I3" i="3"/>
  <c r="H2" i="3"/>
  <c r="I4" i="3"/>
  <c r="H3" i="3"/>
  <c r="I5" i="3"/>
  <c r="H4" i="3"/>
  <c r="I6" i="3"/>
  <c r="H5" i="3"/>
  <c r="H6" i="3"/>
  <c r="I2" i="3"/>
  <c r="K5" i="3"/>
  <c r="G5" i="3"/>
</calcChain>
</file>

<file path=xl/sharedStrings.xml><?xml version="1.0" encoding="utf-8"?>
<sst xmlns="http://schemas.openxmlformats.org/spreadsheetml/2006/main" count="217" uniqueCount="105">
  <si>
    <t>Order, Operation &amp; Machine Tracker — How to Use</t>
  </si>
  <si>
    <t>PURPOSE</t>
  </si>
  <si>
    <t>For every part, see exactly which operations are done, which are left, which machine each</t>
  </si>
  <si>
    <t>needs, and how many days behind schedule it is — so anyone can pick this up if you're not there.</t>
  </si>
  <si>
    <t>SHEETS</t>
  </si>
  <si>
    <t>1. Parts Tracker — one row per PART, with 4 operation blocks (Laser Cutting / Bending / Welding / QC).</t>
  </si>
  <si>
    <t xml:space="preserve">   Leave an operation's Planned Date BLANK if that part doesn't need that operation at all.</t>
  </si>
  <si>
    <t>2. Project Summary — rolls up each order: parts remaining, bottleneck part, days to dispatch.</t>
  </si>
  <si>
    <t>3. Machine Load — shows queued parts per machine so you know where to send the next job.</t>
  </si>
  <si>
    <t>HOW A PART ROW WORKS</t>
  </si>
  <si>
    <t>- Fill Machine + Planned Date for every operation THIS part actually needs. Leave others blank.</t>
  </si>
  <si>
    <t>- 'Remaining Operations' auto-lists whatever isn't marked done yet, e.g. 'Welding, QC'.</t>
  </si>
  <si>
    <t>- 'Next Operation Due' + 'Days Behind' tell you the very next thing to chase, and by how many days</t>
  </si>
  <si>
    <t xml:space="preserve">  you're already late on it (0 = on schedule).</t>
  </si>
  <si>
    <t>- 'Part Status' turns Red the moment any pending operation's planned date has passed.</t>
  </si>
  <si>
    <t>DAILY ROUTINE</t>
  </si>
  <si>
    <t>1. As each operation finishes, fill its Actual Completion date. That auto-updates everything else.</t>
  </si>
  <si>
    <t>2. Check Machine Load first — send the next job to an Available machine, not an Overloaded one.</t>
  </si>
  <si>
    <t>3. Check Project Summary — anything RED or ORANGE needs attention today.</t>
  </si>
  <si>
    <t>4. The Bottleneck Part per project is the one furthest from finishing — chase that one first.</t>
  </si>
  <si>
    <t>COLOR KEY</t>
  </si>
  <si>
    <t>Blue text = cells you type into.   Black text = formulas — do not overwrite.</t>
  </si>
  <si>
    <t>Green = On Track / Available   |   Orange = At Risk / Busy   |   Red = Delayed / Overloaded</t>
  </si>
  <si>
    <t>This sheet, the sample rows, and formulas can be edited freely — this is your working file.</t>
  </si>
  <si>
    <t>Laser Cutting</t>
  </si>
  <si>
    <t>Bending</t>
  </si>
  <si>
    <t>Welding</t>
  </si>
  <si>
    <t>QC</t>
  </si>
  <si>
    <t>Order No</t>
  </si>
  <si>
    <t>Project Name</t>
  </si>
  <si>
    <t>Customer</t>
  </si>
  <si>
    <t>Part No</t>
  </si>
  <si>
    <t>Part Name</t>
  </si>
  <si>
    <t>Machine</t>
  </si>
  <si>
    <t>Planned Date</t>
  </si>
  <si>
    <t>Actual Completion</t>
  </si>
  <si>
    <t>Final Planned Dispatch</t>
  </si>
  <si>
    <t>Remaining Operations</t>
  </si>
  <si>
    <t>Next Operation Due</t>
  </si>
  <si>
    <t>Next Op Due Date</t>
  </si>
  <si>
    <t>Days Behind</t>
  </si>
  <si>
    <t>Part Status</t>
  </si>
  <si>
    <t>Bottleneck Flag</t>
  </si>
  <si>
    <t>_MatchKey</t>
  </si>
  <si>
    <t>_DoneFlag</t>
  </si>
  <si>
    <t>GDJ-2601</t>
  </si>
  <si>
    <t>Godrej Almirah Line</t>
  </si>
  <si>
    <t>Godrej</t>
  </si>
  <si>
    <t>P07</t>
  </si>
  <si>
    <t>Door Panel L</t>
  </si>
  <si>
    <t>Laser-1</t>
  </si>
  <si>
    <t>Weld-3</t>
  </si>
  <si>
    <t>-</t>
  </si>
  <si>
    <t>P08</t>
  </si>
  <si>
    <t>Door Panel R</t>
  </si>
  <si>
    <t>Weld-1</t>
  </si>
  <si>
    <t>P04</t>
  </si>
  <si>
    <t>Top Cover</t>
  </si>
  <si>
    <t>Laser-2</t>
  </si>
  <si>
    <t>Bend-1</t>
  </si>
  <si>
    <t>GDJ-2602</t>
  </si>
  <si>
    <t>Godrej Locker Batch</t>
  </si>
  <si>
    <t>P06</t>
  </si>
  <si>
    <t>Base Plate</t>
  </si>
  <si>
    <t>Number Dial</t>
  </si>
  <si>
    <t>Weld-2</t>
  </si>
  <si>
    <t>JHN-2601</t>
  </si>
  <si>
    <t>Johnson Bracket Set</t>
  </si>
  <si>
    <t>Johnson</t>
  </si>
  <si>
    <t>P01</t>
  </si>
  <si>
    <t>Mount Bracket A</t>
  </si>
  <si>
    <t>Weld-4</t>
  </si>
  <si>
    <t>P03</t>
  </si>
  <si>
    <t>Clamp Ring</t>
  </si>
  <si>
    <t>Support Arm</t>
  </si>
  <si>
    <t>Weld-5</t>
  </si>
  <si>
    <t>WIN-2601</t>
  </si>
  <si>
    <t>Wheels India Rim Set</t>
  </si>
  <si>
    <t>Wheels India</t>
  </si>
  <si>
    <t>Rim Segment A</t>
  </si>
  <si>
    <t>Weld-6</t>
  </si>
  <si>
    <t>Spoke Bracket</t>
  </si>
  <si>
    <t>SWT-2601</t>
  </si>
  <si>
    <t>Switch Panel Batch</t>
  </si>
  <si>
    <t>Switch</t>
  </si>
  <si>
    <t>Panel Frame</t>
  </si>
  <si>
    <t>Weld-7</t>
  </si>
  <si>
    <t>Mount Base</t>
  </si>
  <si>
    <t>Weld-8</t>
  </si>
  <si>
    <t>Promised Dispatch Date</t>
  </si>
  <si>
    <t>Total Parts</t>
  </si>
  <si>
    <t>Parts Completed</t>
  </si>
  <si>
    <t>Parts Remaining</t>
  </si>
  <si>
    <t>Bottleneck Part</t>
  </si>
  <si>
    <t>Bottleneck Planned Date</t>
  </si>
  <si>
    <t>Days to Dispatch</t>
  </si>
  <si>
    <t>Project Status</t>
  </si>
  <si>
    <t>Bottleneck Part = the part with the latest 'Final Planned Dispatch' date among parts not yet fully done in that project.</t>
  </si>
  <si>
    <t>Station Type</t>
  </si>
  <si>
    <t>Parts Queued (not completed)</t>
  </si>
  <si>
    <t>Next Due Date</t>
  </si>
  <si>
    <t>Load Status</t>
  </si>
  <si>
    <t>A machine can appear as the target for a part even if that part's turn hasn't arrived yet (earlier operations not done) — this counts every part currently assigned to it that isn't finished.</t>
  </si>
  <si>
    <t>Sourcing Method</t>
  </si>
  <si>
    <t>In-House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</si>
</sst>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1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105" customWidth="1"/>
  </cols>
  <sheetData>
    <row r="2" spans="2:2" ht="18" x14ac:dyDescent="0.4">
      <c r="B2" s="1" t="s">
        <v>0</v>
      </c>
    </row>
    <row r="3" spans="2:2" x14ac:dyDescent="0.35">
      <c r="B3" s="2"/>
    </row>
    <row r="4" spans="2:2" x14ac:dyDescent="0.35">
      <c r="B4" s="3" t="s">
        <v>1</v>
      </c>
    </row>
    <row r="5" spans="2:2" x14ac:dyDescent="0.35">
      <c r="B5" s="2" t="s">
        <v>2</v>
      </c>
    </row>
    <row r="6" spans="2:2" x14ac:dyDescent="0.35">
      <c r="B6" s="2" t="s">
        <v>3</v>
      </c>
    </row>
    <row r="7" spans="2:2" x14ac:dyDescent="0.35">
      <c r="B7" s="2"/>
    </row>
    <row r="8" spans="2:2" x14ac:dyDescent="0.35">
      <c r="B8" s="3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 t="s">
        <v>7</v>
      </c>
    </row>
    <row r="12" spans="2:2" x14ac:dyDescent="0.35">
      <c r="B12" s="2" t="s">
        <v>8</v>
      </c>
    </row>
    <row r="13" spans="2:2" x14ac:dyDescent="0.35">
      <c r="B13" s="2"/>
    </row>
    <row r="14" spans="2:2" x14ac:dyDescent="0.35">
      <c r="B14" s="3" t="s">
        <v>9</v>
      </c>
    </row>
    <row r="15" spans="2:2" x14ac:dyDescent="0.35">
      <c r="B15" s="2" t="s">
        <v>10</v>
      </c>
    </row>
    <row r="16" spans="2:2" x14ac:dyDescent="0.35">
      <c r="B16" s="2" t="s">
        <v>11</v>
      </c>
    </row>
    <row r="17" spans="2:2" x14ac:dyDescent="0.35">
      <c r="B17" s="2" t="s">
        <v>12</v>
      </c>
    </row>
    <row r="18" spans="2:2" x14ac:dyDescent="0.35">
      <c r="B18" s="2" t="s">
        <v>13</v>
      </c>
    </row>
    <row r="19" spans="2:2" x14ac:dyDescent="0.35">
      <c r="B19" s="2" t="s">
        <v>14</v>
      </c>
    </row>
    <row r="20" spans="2:2" x14ac:dyDescent="0.35">
      <c r="B20" s="2"/>
    </row>
    <row r="21" spans="2:2" x14ac:dyDescent="0.35">
      <c r="B21" s="3" t="s">
        <v>15</v>
      </c>
    </row>
    <row r="22" spans="2:2" x14ac:dyDescent="0.35">
      <c r="B22" s="2" t="s">
        <v>16</v>
      </c>
    </row>
    <row r="23" spans="2:2" x14ac:dyDescent="0.35">
      <c r="B23" s="2" t="s">
        <v>17</v>
      </c>
    </row>
    <row r="24" spans="2:2" x14ac:dyDescent="0.35">
      <c r="B24" s="2" t="s">
        <v>18</v>
      </c>
    </row>
    <row r="25" spans="2:2" x14ac:dyDescent="0.35">
      <c r="B25" s="2" t="s">
        <v>19</v>
      </c>
    </row>
    <row r="26" spans="2:2" x14ac:dyDescent="0.35">
      <c r="B26" s="2"/>
    </row>
    <row r="27" spans="2:2" x14ac:dyDescent="0.35">
      <c r="B27" s="3" t="s">
        <v>20</v>
      </c>
    </row>
    <row r="28" spans="2:2" x14ac:dyDescent="0.35">
      <c r="B28" s="2" t="s">
        <v>21</v>
      </c>
    </row>
    <row r="29" spans="2:2" x14ac:dyDescent="0.35">
      <c r="B29" s="2" t="s">
        <v>22</v>
      </c>
    </row>
    <row r="30" spans="2:2" x14ac:dyDescent="0.35">
      <c r="B30" s="2"/>
    </row>
    <row r="31" spans="2:2" x14ac:dyDescent="0.35">
      <c r="B31" s="2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"/>
  <sheetViews>
    <sheetView tabSelected="1" zoomScaleNormal="100" workbookViewId="0">
      <pane xSplit="5" ySplit="14" topLeftCell="F15" activePane="bottomRight" state="frozen"/>
      <selection pane="topRight" activeCell="F1" sqref="F1"/>
      <selection pane="bottomLeft" activeCell="A15" sqref="A15"/>
      <selection pane="bottomRight" activeCell="L5" sqref="L5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12" customWidth="1"/>
    <col min="4" max="4" width="9" customWidth="1"/>
    <col min="5" max="5" width="16" customWidth="1"/>
    <col min="6" max="7" width="10" customWidth="1"/>
    <col min="8" max="8" width="13" customWidth="1"/>
    <col min="9" max="9" width="14" customWidth="1"/>
    <col min="10" max="10" width="10" customWidth="1"/>
    <col min="11" max="11" width="13" customWidth="1"/>
    <col min="12" max="12" width="14" customWidth="1"/>
    <col min="13" max="13" width="10" customWidth="1"/>
    <col min="14" max="14" width="13" customWidth="1"/>
    <col min="15" max="15" width="14" customWidth="1"/>
    <col min="16" max="16" width="10" customWidth="1"/>
    <col min="17" max="17" width="13" customWidth="1"/>
    <col min="18" max="18" width="14" customWidth="1"/>
    <col min="19" max="19" width="15" customWidth="1"/>
    <col min="20" max="20" width="23.453125" customWidth="1"/>
    <col min="21" max="21" width="14" customWidth="1"/>
    <col min="22" max="22" width="13" customWidth="1"/>
    <col min="23" max="23" width="11" customWidth="1"/>
    <col min="24" max="25" width="14" customWidth="1"/>
    <col min="26" max="27" width="1" hidden="1" customWidth="1"/>
  </cols>
  <sheetData>
    <row r="1" spans="1:27" ht="19.5" customHeight="1" x14ac:dyDescent="0.35">
      <c r="F1" s="13" t="s">
        <v>24</v>
      </c>
      <c r="G1" s="14"/>
      <c r="H1" s="14"/>
      <c r="I1" s="15"/>
      <c r="J1" s="13" t="s">
        <v>25</v>
      </c>
      <c r="K1" s="14"/>
      <c r="L1" s="15"/>
      <c r="M1" s="13" t="s">
        <v>26</v>
      </c>
      <c r="N1" s="14"/>
      <c r="O1" s="15"/>
      <c r="P1" s="13" t="s">
        <v>27</v>
      </c>
      <c r="Q1" s="14"/>
      <c r="R1" s="15"/>
    </row>
    <row r="2" spans="1:27" ht="33.75" customHeight="1" x14ac:dyDescent="0.3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12" t="s">
        <v>33</v>
      </c>
      <c r="G2" s="12" t="s">
        <v>103</v>
      </c>
      <c r="H2" s="12" t="s">
        <v>34</v>
      </c>
      <c r="I2" s="12" t="s">
        <v>35</v>
      </c>
      <c r="J2" s="12" t="s">
        <v>33</v>
      </c>
      <c r="K2" s="12" t="s">
        <v>34</v>
      </c>
      <c r="L2" s="12" t="s">
        <v>35</v>
      </c>
      <c r="M2" s="12" t="s">
        <v>33</v>
      </c>
      <c r="N2" s="12" t="s">
        <v>34</v>
      </c>
      <c r="O2" s="12" t="s">
        <v>35</v>
      </c>
      <c r="P2" s="12" t="s">
        <v>33</v>
      </c>
      <c r="Q2" s="12" t="s">
        <v>34</v>
      </c>
      <c r="R2" s="12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4" t="s">
        <v>40</v>
      </c>
      <c r="X2" s="4" t="s">
        <v>41</v>
      </c>
      <c r="Y2" s="4" t="s">
        <v>42</v>
      </c>
      <c r="Z2" s="4" t="s">
        <v>43</v>
      </c>
      <c r="AA2" s="4" t="s">
        <v>44</v>
      </c>
    </row>
    <row r="3" spans="1:27" x14ac:dyDescent="0.35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104</v>
      </c>
      <c r="H3" s="6">
        <v>46275</v>
      </c>
      <c r="I3" s="6">
        <v>46277</v>
      </c>
      <c r="J3" s="5"/>
      <c r="K3" s="6"/>
      <c r="L3" s="6"/>
      <c r="M3" s="5" t="s">
        <v>51</v>
      </c>
      <c r="N3" s="6">
        <v>46277</v>
      </c>
      <c r="O3" s="6">
        <v>46279</v>
      </c>
      <c r="P3" s="5" t="s">
        <v>52</v>
      </c>
      <c r="Q3" s="6">
        <v>46278</v>
      </c>
      <c r="R3" s="6">
        <v>46280</v>
      </c>
      <c r="S3" s="7">
        <f t="shared" ref="S3:S14" si="0">MAX(H3,K3,N3,Q3)</f>
        <v>46278</v>
      </c>
      <c r="T3" s="8" t="str">
        <f t="shared" ref="T3:T14" si="1">IF(LEN(IF(AND(H3&lt;&gt;"",I3=""),"Laser Cutting, ","")&amp;IF(AND(K3&lt;&gt;"",L3=""),"Bending, ","")&amp;IF(AND(N3&lt;&gt;"",O3=""),"Welding, ","")&amp;IF(AND(Q3&lt;&gt;"",R3=""),"QC, ",""))=0,"✅ All Done",LEFT((IF(AND(H3&lt;&gt;"",I3=""),"Laser Cutting, ","")&amp;IF(AND(K3&lt;&gt;"",L3=""),"Bending, ","")&amp;IF(AND(N3&lt;&gt;"",O3=""),"Welding, ","")&amp;IF(AND(Q3&lt;&gt;"",R3=""),"QC, ","")),LEN(IF(AND(H3&lt;&gt;"",I3=""),"Laser Cutting, ","")&amp;IF(AND(K3&lt;&gt;"",L3=""),"Bending, ","")&amp;IF(AND(N3&lt;&gt;"",O3=""),"Welding, ","")&amp;IF(AND(Q3&lt;&gt;"",R3=""),"QC, ",""))-2))</f>
        <v>✅ All Done</v>
      </c>
      <c r="U3" s="8" t="str">
        <f t="shared" ref="U3:U14" si="2">IF(AND(H3&lt;&gt;"",I3=""),"Laser Cutting",IF(AND(K3&lt;&gt;"",L3=""),"Bending",IF(AND(N3&lt;&gt;"",O3=""),"Welding",IF(AND(Q3&lt;&gt;"",R3=""),"QC","✅ All Done"))))</f>
        <v>✅ All Done</v>
      </c>
      <c r="V3" s="7" t="str">
        <f t="shared" ref="V3:V14" si="3">IF(AND(H3&lt;&gt;"",I3=""),H3,IF(AND(K3&lt;&gt;"",L3=""),K3,IF(AND(N3&lt;&gt;"",O3=""),N3,IF(AND(Q3&lt;&gt;"",R3=""),Q3,""))))</f>
        <v/>
      </c>
      <c r="W3" s="8" t="str">
        <f t="shared" ref="W3:W14" ca="1" si="4">IF(U3="✅ All Done","",IF(TODAY()&gt;V3,TODAY()-V3,0))</f>
        <v/>
      </c>
      <c r="X3" s="8" t="str">
        <f t="shared" ref="X3:X14" ca="1" si="5">IF(U3="✅ All Done","✅ Ready for Dispatch",IF(W3&gt;0,"🔴 Delayed",IF(V3-TODAY()&lt;=2,"🟠 At Risk","🟢 On Track")))</f>
        <v>✅ Ready for Dispatch</v>
      </c>
      <c r="Y3" s="8" t="str">
        <f>IF(AND(AA3=0,S3=_xlfn.MAXIFS($S$3:$S$14,$B$3:$B$14,B3,$AA$3:$AA$14,0)),"⚠ Bottleneck","")</f>
        <v/>
      </c>
      <c r="Z3" s="8" t="str">
        <f>B3&amp;IF(Y3="⚠ Bottleneck","|BN","")</f>
        <v>Godrej Almirah Line</v>
      </c>
      <c r="AA3" s="9">
        <f t="shared" ref="AA3:AA14" si="6">IF(U3="✅ All Done",1,0)</f>
        <v>1</v>
      </c>
    </row>
    <row r="4" spans="1:27" x14ac:dyDescent="0.35">
      <c r="A4" s="5" t="s">
        <v>45</v>
      </c>
      <c r="B4" s="5" t="s">
        <v>46</v>
      </c>
      <c r="C4" s="5" t="s">
        <v>47</v>
      </c>
      <c r="D4" s="5" t="s">
        <v>53</v>
      </c>
      <c r="E4" s="5" t="s">
        <v>54</v>
      </c>
      <c r="F4" s="5" t="s">
        <v>50</v>
      </c>
      <c r="G4" s="5" t="s">
        <v>104</v>
      </c>
      <c r="H4" s="6">
        <v>46276</v>
      </c>
      <c r="I4" s="6">
        <v>46276</v>
      </c>
      <c r="J4" s="5"/>
      <c r="K4" s="6"/>
      <c r="L4" s="6"/>
      <c r="M4" s="5" t="s">
        <v>55</v>
      </c>
      <c r="N4" s="6">
        <v>46279</v>
      </c>
      <c r="O4" s="6">
        <v>46279</v>
      </c>
      <c r="P4" s="5" t="s">
        <v>52</v>
      </c>
      <c r="Q4" s="6">
        <v>46280</v>
      </c>
      <c r="R4" s="6">
        <v>46280</v>
      </c>
      <c r="S4" s="7">
        <f t="shared" si="0"/>
        <v>46280</v>
      </c>
      <c r="T4" s="8" t="str">
        <f>IF(LEN(IF(AND(H4&lt;&gt;"",I4=""),"Laser Cutting, ","")&amp;IF(AND(K4&lt;&gt;"",L4=""),"Bending, ","")&amp;IF(AND(N4&lt;&gt;"",O4=""),"Welding, ","")&amp;IF(AND(Q4&lt;&gt;"",R4=""),"QC, ",""))=0,"✅ All Done",LEFT((IF(AND(H4&lt;&gt;"",I4=""),"Laser Cutting, ","")&amp;IF(AND(K4&lt;&gt;"",L4=""),"Bending, ","")&amp;IF(AND(N4&lt;&gt;"",O4=""),"Welding, ","")&amp;IF(AND(Q4&lt;&gt;"",R4=""),"QC, ","")),LEN(IF(AND(H4&lt;&gt;"",I4=""),"Laser Cutting, ","")&amp;IF(AND(K4&lt;&gt;"",L4=""),"Bending, ","")&amp;IF(AND(N4&lt;&gt;"",O4=""),"Welding, ","")&amp;IF(AND(Q4&lt;&gt;"",R4=""),"QC, ",""))-2))</f>
        <v>✅ All Done</v>
      </c>
      <c r="U4" s="8" t="str">
        <f t="shared" si="2"/>
        <v>✅ All Done</v>
      </c>
      <c r="V4" s="7" t="str">
        <f t="shared" si="3"/>
        <v/>
      </c>
      <c r="W4" s="8" t="str">
        <f t="shared" ca="1" si="4"/>
        <v/>
      </c>
      <c r="X4" s="8" t="str">
        <f t="shared" ca="1" si="5"/>
        <v>✅ Ready for Dispatch</v>
      </c>
      <c r="Y4" s="8" t="str">
        <f>IF(AND(AA4=0,S4=_xlfn.MAXIFS($S$3:$S$14,$B$3:$B$14,B4,$AA$3:$AA$14,0)),"⚠ Bottleneck","")</f>
        <v/>
      </c>
      <c r="Z4" s="8" t="str">
        <f>B4&amp;IF(Y4="⚠ Bottleneck","|BN","")</f>
        <v>Godrej Almirah Line</v>
      </c>
      <c r="AA4" s="9">
        <f t="shared" si="6"/>
        <v>1</v>
      </c>
    </row>
    <row r="5" spans="1:27" x14ac:dyDescent="0.35">
      <c r="A5" s="5" t="s">
        <v>45</v>
      </c>
      <c r="B5" s="5" t="s">
        <v>46</v>
      </c>
      <c r="C5" s="5" t="s">
        <v>47</v>
      </c>
      <c r="D5" s="5" t="s">
        <v>56</v>
      </c>
      <c r="E5" s="5" t="s">
        <v>57</v>
      </c>
      <c r="F5" s="5" t="s">
        <v>58</v>
      </c>
      <c r="G5" s="5" t="s">
        <v>104</v>
      </c>
      <c r="H5" s="6">
        <v>46273</v>
      </c>
      <c r="I5" s="6">
        <v>46274</v>
      </c>
      <c r="J5" s="5" t="s">
        <v>59</v>
      </c>
      <c r="K5" s="6">
        <v>46277</v>
      </c>
      <c r="L5" s="6">
        <v>46278</v>
      </c>
      <c r="M5" s="5"/>
      <c r="N5" s="6"/>
      <c r="O5" s="6"/>
      <c r="P5" s="5" t="s">
        <v>52</v>
      </c>
      <c r="Q5" s="6">
        <v>46278</v>
      </c>
      <c r="R5" s="6">
        <v>46280</v>
      </c>
      <c r="S5" s="7">
        <f t="shared" si="0"/>
        <v>46278</v>
      </c>
      <c r="T5" s="8" t="str">
        <f t="shared" si="1"/>
        <v>✅ All Done</v>
      </c>
      <c r="U5" s="8" t="str">
        <f t="shared" si="2"/>
        <v>✅ All Done</v>
      </c>
      <c r="V5" s="7" t="str">
        <f t="shared" si="3"/>
        <v/>
      </c>
      <c r="W5" s="8" t="str">
        <f t="shared" ca="1" si="4"/>
        <v/>
      </c>
      <c r="X5" s="8" t="str">
        <f t="shared" ca="1" si="5"/>
        <v>✅ Ready for Dispatch</v>
      </c>
      <c r="Y5" s="8" t="str">
        <f>IF(AND(AA5=0,S5=_xlfn.MAXIFS($S$3:$S$14,$B$3:$B$14,B5,$AA$3:$AA$14,0)),"⚠ Bottleneck","")</f>
        <v/>
      </c>
      <c r="Z5" s="8" t="str">
        <f>B5&amp;IF(Y5="⚠ Bottleneck","|BN","")</f>
        <v>Godrej Almirah Line</v>
      </c>
      <c r="AA5" s="9">
        <f t="shared" si="6"/>
        <v>1</v>
      </c>
    </row>
    <row r="6" spans="1:27" x14ac:dyDescent="0.35">
      <c r="A6" s="5" t="s">
        <v>60</v>
      </c>
      <c r="B6" s="5" t="s">
        <v>61</v>
      </c>
      <c r="C6" s="5" t="s">
        <v>47</v>
      </c>
      <c r="D6" s="5" t="s">
        <v>62</v>
      </c>
      <c r="E6" s="5" t="s">
        <v>63</v>
      </c>
      <c r="F6" s="5" t="s">
        <v>58</v>
      </c>
      <c r="G6" s="5" t="s">
        <v>104</v>
      </c>
      <c r="H6" s="6">
        <v>46276</v>
      </c>
      <c r="I6" s="6">
        <v>46277</v>
      </c>
      <c r="J6" s="5" t="s">
        <v>59</v>
      </c>
      <c r="K6" s="6">
        <v>46279</v>
      </c>
      <c r="L6" s="6"/>
      <c r="M6" s="5"/>
      <c r="N6" s="6"/>
      <c r="O6" s="6"/>
      <c r="P6" s="5" t="s">
        <v>52</v>
      </c>
      <c r="Q6" s="6">
        <v>46280</v>
      </c>
      <c r="R6" s="6"/>
      <c r="S6" s="7">
        <f t="shared" si="0"/>
        <v>46280</v>
      </c>
      <c r="T6" s="8" t="str">
        <f t="shared" si="1"/>
        <v>Bending, QC</v>
      </c>
      <c r="U6" s="8" t="str">
        <f t="shared" si="2"/>
        <v>Bending</v>
      </c>
      <c r="V6" s="7">
        <f t="shared" si="3"/>
        <v>46279</v>
      </c>
      <c r="W6" s="8">
        <f t="shared" ca="1" si="4"/>
        <v>12</v>
      </c>
      <c r="X6" s="8" t="str">
        <f t="shared" ca="1" si="5"/>
        <v>🔴 Delayed</v>
      </c>
      <c r="Y6" s="8" t="str">
        <f>IF(AND(AA6=0,S6=_xlfn.MAXIFS($S$3:$S$14,$B$3:$B$14,B6,$AA$3:$AA$14,0)),"⚠ Bottleneck","")</f>
        <v/>
      </c>
      <c r="Z6" s="8" t="str">
        <f>B6&amp;IF(Y6="⚠ Bottleneck","|BN","")</f>
        <v>Godrej Locker Batch</v>
      </c>
      <c r="AA6" s="9">
        <f t="shared" si="6"/>
        <v>0</v>
      </c>
    </row>
    <row r="7" spans="1:27" x14ac:dyDescent="0.35">
      <c r="A7" s="5" t="s">
        <v>60</v>
      </c>
      <c r="B7" s="5" t="s">
        <v>61</v>
      </c>
      <c r="C7" s="5" t="s">
        <v>47</v>
      </c>
      <c r="D7" s="5" t="s">
        <v>48</v>
      </c>
      <c r="E7" s="5" t="s">
        <v>64</v>
      </c>
      <c r="F7" s="5" t="s">
        <v>50</v>
      </c>
      <c r="G7" s="5" t="s">
        <v>104</v>
      </c>
      <c r="H7" s="6">
        <v>46276</v>
      </c>
      <c r="I7" s="6"/>
      <c r="J7" s="5"/>
      <c r="K7" s="6"/>
      <c r="L7" s="6"/>
      <c r="M7" s="5" t="s">
        <v>65</v>
      </c>
      <c r="N7" s="6">
        <v>46281</v>
      </c>
      <c r="O7" s="6"/>
      <c r="P7" s="5" t="s">
        <v>52</v>
      </c>
      <c r="Q7" s="6">
        <v>46283</v>
      </c>
      <c r="R7" s="6"/>
      <c r="S7" s="7">
        <f t="shared" si="0"/>
        <v>46283</v>
      </c>
      <c r="T7" s="8" t="str">
        <f t="shared" si="1"/>
        <v>Laser Cutting, Welding, QC</v>
      </c>
      <c r="U7" s="8" t="str">
        <f t="shared" si="2"/>
        <v>Laser Cutting</v>
      </c>
      <c r="V7" s="7">
        <f t="shared" si="3"/>
        <v>46276</v>
      </c>
      <c r="W7" s="8">
        <f t="shared" ca="1" si="4"/>
        <v>15</v>
      </c>
      <c r="X7" s="8" t="str">
        <f t="shared" ca="1" si="5"/>
        <v>🔴 Delayed</v>
      </c>
      <c r="Y7" s="8" t="str">
        <f>IF(AND(AA7=0,S7=_xlfn.MAXIFS($S$3:$S$14,$B$3:$B$14,B7,$AA$3:$AA$14,0)),"⚠ Bottleneck","")</f>
        <v>⚠ Bottleneck</v>
      </c>
      <c r="Z7" s="8" t="str">
        <f>B7&amp;IF(Y7="⚠ Bottleneck","|BN","")</f>
        <v>Godrej Locker Batch|BN</v>
      </c>
      <c r="AA7" s="9">
        <f t="shared" si="6"/>
        <v>0</v>
      </c>
    </row>
    <row r="8" spans="1:27" x14ac:dyDescent="0.35">
      <c r="A8" s="5" t="s">
        <v>66</v>
      </c>
      <c r="B8" s="5" t="s">
        <v>67</v>
      </c>
      <c r="C8" s="5" t="s">
        <v>68</v>
      </c>
      <c r="D8" s="5" t="s">
        <v>69</v>
      </c>
      <c r="E8" s="5" t="s">
        <v>70</v>
      </c>
      <c r="F8" s="5" t="s">
        <v>50</v>
      </c>
      <c r="G8" s="5" t="s">
        <v>104</v>
      </c>
      <c r="H8" s="6">
        <v>46274</v>
      </c>
      <c r="I8" s="6">
        <v>46275</v>
      </c>
      <c r="J8" s="5"/>
      <c r="K8" s="6"/>
      <c r="L8" s="6"/>
      <c r="M8" s="5" t="s">
        <v>71</v>
      </c>
      <c r="N8" s="6">
        <v>46278</v>
      </c>
      <c r="O8" s="6">
        <v>46278</v>
      </c>
      <c r="P8" s="5" t="s">
        <v>52</v>
      </c>
      <c r="Q8" s="6">
        <v>46279</v>
      </c>
      <c r="R8" s="6"/>
      <c r="S8" s="7">
        <f t="shared" si="0"/>
        <v>46279</v>
      </c>
      <c r="T8" s="8" t="str">
        <f t="shared" si="1"/>
        <v>QC</v>
      </c>
      <c r="U8" s="8" t="str">
        <f t="shared" si="2"/>
        <v>QC</v>
      </c>
      <c r="V8" s="7">
        <f t="shared" si="3"/>
        <v>46279</v>
      </c>
      <c r="W8" s="8">
        <f t="shared" ca="1" si="4"/>
        <v>12</v>
      </c>
      <c r="X8" s="8" t="str">
        <f t="shared" ca="1" si="5"/>
        <v>🔴 Delayed</v>
      </c>
      <c r="Y8" s="8" t="str">
        <f>IF(AND(AA8=0,S8=_xlfn.MAXIFS($S$3:$S$14,$B$3:$B$14,B8,$AA$3:$AA$14,0)),"⚠ Bottleneck","")</f>
        <v/>
      </c>
      <c r="Z8" s="8" t="str">
        <f>B8&amp;IF(Y8="⚠ Bottleneck","|BN","")</f>
        <v>Johnson Bracket Set</v>
      </c>
      <c r="AA8" s="9">
        <f t="shared" si="6"/>
        <v>0</v>
      </c>
    </row>
    <row r="9" spans="1:27" x14ac:dyDescent="0.35">
      <c r="A9" s="5" t="s">
        <v>66</v>
      </c>
      <c r="B9" s="5" t="s">
        <v>67</v>
      </c>
      <c r="C9" s="5" t="s">
        <v>68</v>
      </c>
      <c r="D9" s="5" t="s">
        <v>72</v>
      </c>
      <c r="E9" s="5" t="s">
        <v>73</v>
      </c>
      <c r="F9" s="5" t="s">
        <v>58</v>
      </c>
      <c r="G9" s="5" t="s">
        <v>104</v>
      </c>
      <c r="H9" s="6">
        <v>46276</v>
      </c>
      <c r="I9" s="6"/>
      <c r="J9" s="5"/>
      <c r="K9" s="6"/>
      <c r="L9" s="6"/>
      <c r="M9" s="5" t="s">
        <v>71</v>
      </c>
      <c r="N9" s="6">
        <v>46279</v>
      </c>
      <c r="O9" s="6"/>
      <c r="P9" s="5" t="s">
        <v>52</v>
      </c>
      <c r="Q9" s="6">
        <v>46280</v>
      </c>
      <c r="R9" s="6"/>
      <c r="S9" s="7">
        <f t="shared" si="0"/>
        <v>46280</v>
      </c>
      <c r="T9" s="8" t="str">
        <f t="shared" si="1"/>
        <v>Laser Cutting, Welding, QC</v>
      </c>
      <c r="U9" s="8" t="str">
        <f t="shared" si="2"/>
        <v>Laser Cutting</v>
      </c>
      <c r="V9" s="7">
        <f t="shared" si="3"/>
        <v>46276</v>
      </c>
      <c r="W9" s="8">
        <f t="shared" ca="1" si="4"/>
        <v>15</v>
      </c>
      <c r="X9" s="8" t="str">
        <f t="shared" ca="1" si="5"/>
        <v>🔴 Delayed</v>
      </c>
      <c r="Y9" s="8" t="str">
        <f>IF(AND(AA9=0,S9=_xlfn.MAXIFS($S$3:$S$14,$B$3:$B$14,B9,$AA$3:$AA$14,0)),"⚠ Bottleneck","")</f>
        <v/>
      </c>
      <c r="Z9" s="8" t="str">
        <f>B9&amp;IF(Y9="⚠ Bottleneck","|BN","")</f>
        <v>Johnson Bracket Set</v>
      </c>
      <c r="AA9" s="9">
        <f t="shared" si="6"/>
        <v>0</v>
      </c>
    </row>
    <row r="10" spans="1:27" x14ac:dyDescent="0.35">
      <c r="A10" s="5" t="s">
        <v>66</v>
      </c>
      <c r="B10" s="5" t="s">
        <v>67</v>
      </c>
      <c r="C10" s="5" t="s">
        <v>68</v>
      </c>
      <c r="D10" s="5" t="s">
        <v>56</v>
      </c>
      <c r="E10" s="5" t="s">
        <v>74</v>
      </c>
      <c r="F10" s="5"/>
      <c r="G10" s="5" t="s">
        <v>104</v>
      </c>
      <c r="H10" s="6"/>
      <c r="I10" s="6"/>
      <c r="J10" s="5" t="s">
        <v>59</v>
      </c>
      <c r="K10" s="6">
        <v>46280</v>
      </c>
      <c r="L10" s="6"/>
      <c r="M10" s="5" t="s">
        <v>75</v>
      </c>
      <c r="N10" s="6">
        <v>46282</v>
      </c>
      <c r="O10" s="6"/>
      <c r="P10" s="5" t="s">
        <v>52</v>
      </c>
      <c r="Q10" s="6">
        <v>46283</v>
      </c>
      <c r="R10" s="6"/>
      <c r="S10" s="7">
        <f t="shared" si="0"/>
        <v>46283</v>
      </c>
      <c r="T10" s="8" t="str">
        <f t="shared" si="1"/>
        <v>Bending, Welding, QC</v>
      </c>
      <c r="U10" s="8" t="str">
        <f t="shared" si="2"/>
        <v>Bending</v>
      </c>
      <c r="V10" s="7">
        <f t="shared" si="3"/>
        <v>46280</v>
      </c>
      <c r="W10" s="8">
        <f t="shared" ca="1" si="4"/>
        <v>11</v>
      </c>
      <c r="X10" s="8" t="str">
        <f t="shared" ca="1" si="5"/>
        <v>🔴 Delayed</v>
      </c>
      <c r="Y10" s="8" t="str">
        <f>IF(AND(AA10=0,S10=_xlfn.MAXIFS($S$3:$S$14,$B$3:$B$14,B10,$AA$3:$AA$14,0)),"⚠ Bottleneck","")</f>
        <v>⚠ Bottleneck</v>
      </c>
      <c r="Z10" s="8" t="str">
        <f>B10&amp;IF(Y10="⚠ Bottleneck","|BN","")</f>
        <v>Johnson Bracket Set|BN</v>
      </c>
      <c r="AA10" s="9">
        <f t="shared" si="6"/>
        <v>0</v>
      </c>
    </row>
    <row r="11" spans="1:27" x14ac:dyDescent="0.35">
      <c r="A11" s="5" t="s">
        <v>76</v>
      </c>
      <c r="B11" s="5" t="s">
        <v>77</v>
      </c>
      <c r="C11" s="5" t="s">
        <v>78</v>
      </c>
      <c r="D11" s="5" t="s">
        <v>69</v>
      </c>
      <c r="E11" s="5" t="s">
        <v>79</v>
      </c>
      <c r="F11" s="5" t="s">
        <v>58</v>
      </c>
      <c r="G11" s="5" t="s">
        <v>104</v>
      </c>
      <c r="H11" s="6">
        <v>46274</v>
      </c>
      <c r="I11" s="6">
        <v>46275</v>
      </c>
      <c r="J11" s="5" t="s">
        <v>59</v>
      </c>
      <c r="K11" s="6">
        <v>46276</v>
      </c>
      <c r="L11" s="6"/>
      <c r="M11" s="5" t="s">
        <v>80</v>
      </c>
      <c r="N11" s="6">
        <v>46278</v>
      </c>
      <c r="O11" s="6"/>
      <c r="P11" s="5" t="s">
        <v>52</v>
      </c>
      <c r="Q11" s="6">
        <v>46279</v>
      </c>
      <c r="R11" s="6"/>
      <c r="S11" s="7">
        <f t="shared" si="0"/>
        <v>46279</v>
      </c>
      <c r="T11" s="8" t="str">
        <f t="shared" si="1"/>
        <v>Bending, Welding, QC</v>
      </c>
      <c r="U11" s="8" t="str">
        <f t="shared" si="2"/>
        <v>Bending</v>
      </c>
      <c r="V11" s="7">
        <f t="shared" si="3"/>
        <v>46276</v>
      </c>
      <c r="W11" s="8">
        <f t="shared" ca="1" si="4"/>
        <v>15</v>
      </c>
      <c r="X11" s="8" t="str">
        <f t="shared" ca="1" si="5"/>
        <v>🔴 Delayed</v>
      </c>
      <c r="Y11" s="8" t="str">
        <f>IF(AND(AA11=0,S11=_xlfn.MAXIFS($S$3:$S$14,$B$3:$B$14,B11,$AA$3:$AA$14,0)),"⚠ Bottleneck","")</f>
        <v/>
      </c>
      <c r="Z11" s="8" t="str">
        <f>B11&amp;IF(Y11="⚠ Bottleneck","|BN","")</f>
        <v>Wheels India Rim Set</v>
      </c>
      <c r="AA11" s="9">
        <f t="shared" si="6"/>
        <v>0</v>
      </c>
    </row>
    <row r="12" spans="1:27" x14ac:dyDescent="0.35">
      <c r="A12" s="5" t="s">
        <v>76</v>
      </c>
      <c r="B12" s="5" t="s">
        <v>77</v>
      </c>
      <c r="C12" s="5" t="s">
        <v>78</v>
      </c>
      <c r="D12" s="5" t="s">
        <v>56</v>
      </c>
      <c r="E12" s="5" t="s">
        <v>81</v>
      </c>
      <c r="F12" s="5" t="s">
        <v>50</v>
      </c>
      <c r="G12" s="5" t="s">
        <v>104</v>
      </c>
      <c r="H12" s="6">
        <v>46277</v>
      </c>
      <c r="I12" s="6"/>
      <c r="J12" s="5"/>
      <c r="K12" s="6"/>
      <c r="L12" s="6"/>
      <c r="M12" s="5" t="s">
        <v>80</v>
      </c>
      <c r="N12" s="6">
        <v>46281</v>
      </c>
      <c r="O12" s="6"/>
      <c r="P12" s="5" t="s">
        <v>52</v>
      </c>
      <c r="Q12" s="6">
        <v>46282</v>
      </c>
      <c r="R12" s="6"/>
      <c r="S12" s="7">
        <f t="shared" si="0"/>
        <v>46282</v>
      </c>
      <c r="T12" s="8" t="str">
        <f t="shared" si="1"/>
        <v>Laser Cutting, Welding, QC</v>
      </c>
      <c r="U12" s="8" t="str">
        <f t="shared" si="2"/>
        <v>Laser Cutting</v>
      </c>
      <c r="V12" s="7">
        <f t="shared" si="3"/>
        <v>46277</v>
      </c>
      <c r="W12" s="8">
        <f t="shared" ca="1" si="4"/>
        <v>14</v>
      </c>
      <c r="X12" s="8" t="str">
        <f t="shared" ca="1" si="5"/>
        <v>🔴 Delayed</v>
      </c>
      <c r="Y12" s="8" t="str">
        <f>IF(AND(AA12=0,S12=_xlfn.MAXIFS($S$3:$S$14,$B$3:$B$14,B12,$AA$3:$AA$14,0)),"⚠ Bottleneck","")</f>
        <v>⚠ Bottleneck</v>
      </c>
      <c r="Z12" s="8" t="str">
        <f>B12&amp;IF(Y12="⚠ Bottleneck","|BN","")</f>
        <v>Wheels India Rim Set|BN</v>
      </c>
      <c r="AA12" s="9">
        <f t="shared" si="6"/>
        <v>0</v>
      </c>
    </row>
    <row r="13" spans="1:27" x14ac:dyDescent="0.35">
      <c r="A13" s="5" t="s">
        <v>82</v>
      </c>
      <c r="B13" s="5" t="s">
        <v>83</v>
      </c>
      <c r="C13" s="5" t="s">
        <v>84</v>
      </c>
      <c r="D13" s="5" t="s">
        <v>69</v>
      </c>
      <c r="E13" s="5" t="s">
        <v>85</v>
      </c>
      <c r="F13" s="5"/>
      <c r="G13" s="5" t="s">
        <v>104</v>
      </c>
      <c r="H13" s="6"/>
      <c r="I13" s="6"/>
      <c r="J13" s="5"/>
      <c r="K13" s="6"/>
      <c r="L13" s="6"/>
      <c r="M13" s="5" t="s">
        <v>86</v>
      </c>
      <c r="N13" s="6">
        <v>46278</v>
      </c>
      <c r="O13" s="6"/>
      <c r="P13" s="5" t="s">
        <v>52</v>
      </c>
      <c r="Q13" s="6">
        <v>46279</v>
      </c>
      <c r="R13" s="6"/>
      <c r="S13" s="7">
        <f t="shared" si="0"/>
        <v>46279</v>
      </c>
      <c r="T13" s="8" t="str">
        <f t="shared" si="1"/>
        <v>Welding, QC</v>
      </c>
      <c r="U13" s="8" t="str">
        <f t="shared" si="2"/>
        <v>Welding</v>
      </c>
      <c r="V13" s="7">
        <f t="shared" si="3"/>
        <v>46278</v>
      </c>
      <c r="W13" s="8">
        <f t="shared" ca="1" si="4"/>
        <v>13</v>
      </c>
      <c r="X13" s="8" t="str">
        <f t="shared" ca="1" si="5"/>
        <v>🔴 Delayed</v>
      </c>
      <c r="Y13" s="8" t="str">
        <f>IF(AND(AA13=0,S13=_xlfn.MAXIFS($S$3:$S$14,$B$3:$B$14,B13,$AA$3:$AA$14,0)),"⚠ Bottleneck","")</f>
        <v/>
      </c>
      <c r="Z13" s="8" t="str">
        <f>B13&amp;IF(Y13="⚠ Bottleneck","|BN","")</f>
        <v>Switch Panel Batch</v>
      </c>
      <c r="AA13" s="9">
        <f t="shared" si="6"/>
        <v>0</v>
      </c>
    </row>
    <row r="14" spans="1:27" x14ac:dyDescent="0.35">
      <c r="A14" s="5" t="s">
        <v>82</v>
      </c>
      <c r="B14" s="5" t="s">
        <v>83</v>
      </c>
      <c r="C14" s="5" t="s">
        <v>84</v>
      </c>
      <c r="D14" s="5" t="s">
        <v>72</v>
      </c>
      <c r="E14" s="5" t="s">
        <v>87</v>
      </c>
      <c r="F14" s="5"/>
      <c r="G14" s="5" t="s">
        <v>104</v>
      </c>
      <c r="H14" s="6"/>
      <c r="I14" s="6"/>
      <c r="J14" s="5"/>
      <c r="K14" s="6"/>
      <c r="L14" s="6"/>
      <c r="M14" s="5" t="s">
        <v>88</v>
      </c>
      <c r="N14" s="6">
        <v>46280</v>
      </c>
      <c r="O14" s="6"/>
      <c r="P14" s="5" t="s">
        <v>52</v>
      </c>
      <c r="Q14" s="6">
        <v>46281</v>
      </c>
      <c r="R14" s="6"/>
      <c r="S14" s="7">
        <f t="shared" si="0"/>
        <v>46281</v>
      </c>
      <c r="T14" s="8" t="str">
        <f t="shared" si="1"/>
        <v>Welding, QC</v>
      </c>
      <c r="U14" s="8" t="str">
        <f t="shared" si="2"/>
        <v>Welding</v>
      </c>
      <c r="V14" s="7">
        <f t="shared" si="3"/>
        <v>46280</v>
      </c>
      <c r="W14" s="8">
        <f t="shared" ca="1" si="4"/>
        <v>11</v>
      </c>
      <c r="X14" s="8" t="str">
        <f t="shared" ca="1" si="5"/>
        <v>🔴 Delayed</v>
      </c>
      <c r="Y14" s="8" t="str">
        <f>IF(AND(AA14=0,S14=_xlfn.MAXIFS($S$3:$S$14,$B$3:$B$14,B14,$AA$3:$AA$14,0)),"⚠ Bottleneck","")</f>
        <v>⚠ Bottleneck</v>
      </c>
      <c r="Z14" s="8" t="str">
        <f>B14&amp;IF(Y14="⚠ Bottleneck","|BN","")</f>
        <v>Switch Panel Batch|BN</v>
      </c>
      <c r="AA14" s="9">
        <f t="shared" si="6"/>
        <v>0</v>
      </c>
    </row>
  </sheetData>
  <mergeCells count="4">
    <mergeCell ref="F1:I1"/>
    <mergeCell ref="J1:L1"/>
    <mergeCell ref="M1:O1"/>
    <mergeCell ref="P1:R1"/>
  </mergeCells>
  <conditionalFormatting sqref="A3:Y500">
    <cfRule type="expression" dxfId="7" priority="6">
      <formula>$Y3="⚠ Bottleneck"</formula>
    </cfRule>
  </conditionalFormatting>
  <conditionalFormatting sqref="X3:X500">
    <cfRule type="cellIs" dxfId="6" priority="2" operator="equal">
      <formula>"🟢 On Track"</formula>
    </cfRule>
    <cfRule type="cellIs" dxfId="5" priority="3" operator="equal">
      <formula>"🟠 At Risk"</formula>
    </cfRule>
    <cfRule type="cellIs" dxfId="4" priority="4" operator="equal">
      <formula>"🔴 Delayed"</formula>
    </cfRule>
    <cfRule type="cellIs" dxfId="3" priority="5" operator="equal">
      <formula>"✅ Ready for Dispatch"</formula>
    </cfRule>
  </conditionalFormatting>
  <dataValidations count="6">
    <dataValidation type="list" allowBlank="1" sqref="F3:F500 G15:G500" xr:uid="{00000000-0002-0000-0100-000000000000}">
      <formula1>"Laser-1,Laser-2,-"</formula1>
      <formula2>0</formula2>
    </dataValidation>
    <dataValidation type="list" allowBlank="1" sqref="J3:J500" xr:uid="{00000000-0002-0000-0100-000001000000}">
      <formula1>"Bend-1,-"</formula1>
      <formula2>0</formula2>
    </dataValidation>
    <dataValidation type="list" allowBlank="1" sqref="M3:M500" xr:uid="{00000000-0002-0000-0100-000002000000}">
      <formula1>"Weld-1,Weld-2,Weld-3,Weld-4,Weld-5,Weld-6,Weld-7,Weld-8,-"</formula1>
      <formula2>0</formula2>
    </dataValidation>
    <dataValidation type="list" allowBlank="1" sqref="P3:P500" xr:uid="{00000000-0002-0000-0100-000003000000}">
      <formula1>"-,QC-1"</formula1>
      <formula2>0</formula2>
    </dataValidation>
    <dataValidation type="list" allowBlank="1" sqref="G3:G14" xr:uid="{CA75E555-14C0-410D-8D38-EBDC921D8D04}">
      <formula1>"In-House,RG tech"</formula1>
    </dataValidation>
    <dataValidation type="date" allowBlank="1" showInputMessage="1" showErrorMessage="1" sqref="R5" xr:uid="{088A8F82-9D3B-488F-B21F-62E063F3E221}">
      <formula1>46266</formula1>
      <formula2>46295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14" customWidth="1"/>
    <col min="4" max="4" width="18" customWidth="1"/>
    <col min="5" max="5" width="10" customWidth="1"/>
    <col min="6" max="7" width="12" customWidth="1"/>
    <col min="8" max="8" width="18" customWidth="1"/>
    <col min="9" max="9" width="16" customWidth="1"/>
    <col min="10" max="10" width="12" customWidth="1"/>
    <col min="11" max="11" width="16" customWidth="1"/>
  </cols>
  <sheetData>
    <row r="1" spans="1:11" ht="31.5" customHeight="1" x14ac:dyDescent="0.35">
      <c r="A1" s="4" t="s">
        <v>28</v>
      </c>
      <c r="B1" s="4" t="s">
        <v>29</v>
      </c>
      <c r="C1" s="4" t="s">
        <v>30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</row>
    <row r="2" spans="1:11" x14ac:dyDescent="0.35">
      <c r="A2" s="5" t="s">
        <v>45</v>
      </c>
      <c r="B2" s="5" t="s">
        <v>46</v>
      </c>
      <c r="C2" s="5" t="s">
        <v>47</v>
      </c>
      <c r="D2" s="6">
        <v>46282</v>
      </c>
      <c r="E2" s="8">
        <f>COUNTIFS('Parts Tracker'!$B$3:$B$14,B2)</f>
        <v>3</v>
      </c>
      <c r="F2" s="8">
        <f>COUNTIFS('Parts Tracker'!$B$3:$B$14,B2,'Parts Tracker'!$AA$3:$AA$14,1)</f>
        <v>3</v>
      </c>
      <c r="G2" s="8">
        <f>E2-F2</f>
        <v>0</v>
      </c>
      <c r="H2" s="8" t="str">
        <f>IFERROR(INDEX('Parts Tracker'!$E$3:$E$14,MATCH(B2&amp;"|BN",'Parts Tracker'!$Z$3:$Z$14,0)),"-")</f>
        <v>-</v>
      </c>
      <c r="I2" s="7" t="str">
        <f>IFERROR(INDEX('Parts Tracker'!$S$3:$S$14,MATCH(B2&amp;"|BN",'Parts Tracker'!$Z$3:$Z$14,0)),"-")</f>
        <v>-</v>
      </c>
      <c r="J2" s="8">
        <f ca="1">D2-TODAY()</f>
        <v>-9</v>
      </c>
      <c r="K2" s="8" t="str">
        <f>IF(F2=E2,"✅ Ready to Dispatch",IF(J2&lt;0,"🔴 Delayed",IF(J2&lt;=2,"🟠 At Risk","🟢 On Track")))</f>
        <v>✅ Ready to Dispatch</v>
      </c>
    </row>
    <row r="3" spans="1:11" x14ac:dyDescent="0.35">
      <c r="A3" s="5" t="s">
        <v>60</v>
      </c>
      <c r="B3" s="5" t="s">
        <v>61</v>
      </c>
      <c r="C3" s="5" t="s">
        <v>47</v>
      </c>
      <c r="D3" s="6">
        <v>46279</v>
      </c>
      <c r="E3" s="8">
        <f>COUNTIFS('Parts Tracker'!$B$3:$B$14,B3)</f>
        <v>2</v>
      </c>
      <c r="F3" s="8">
        <f>COUNTIFS('Parts Tracker'!$B$3:$B$14,B3,'Parts Tracker'!$AA$3:$AA$14,1)</f>
        <v>0</v>
      </c>
      <c r="G3" s="8">
        <f>E3-F3</f>
        <v>2</v>
      </c>
      <c r="H3" s="8" t="str">
        <f>IFERROR(INDEX('Parts Tracker'!$E$3:$E$14,MATCH(B3&amp;"|BN",'Parts Tracker'!$Z$3:$Z$14,0)),"-")</f>
        <v>Number Dial</v>
      </c>
      <c r="I3" s="7">
        <f>IFERROR(INDEX('Parts Tracker'!$S$3:$S$14,MATCH(B3&amp;"|BN",'Parts Tracker'!$Z$3:$Z$14,0)),"-")</f>
        <v>46283</v>
      </c>
      <c r="J3" s="8">
        <f ca="1">D3-TODAY()</f>
        <v>-12</v>
      </c>
      <c r="K3" s="8" t="str">
        <f ca="1">IF(F3=E3,"✅ Ready to Dispatch",IF(J3&lt;0,"🔴 Delayed",IF(J3&lt;=2,"🟠 At Risk","🟢 On Track")))</f>
        <v>🔴 Delayed</v>
      </c>
    </row>
    <row r="4" spans="1:11" x14ac:dyDescent="0.35">
      <c r="A4" s="5" t="s">
        <v>66</v>
      </c>
      <c r="B4" s="5" t="s">
        <v>67</v>
      </c>
      <c r="C4" s="5" t="s">
        <v>68</v>
      </c>
      <c r="D4" s="6">
        <v>46280</v>
      </c>
      <c r="E4" s="8">
        <f>COUNTIFS('Parts Tracker'!$B$3:$B$14,B4)</f>
        <v>3</v>
      </c>
      <c r="F4" s="8">
        <f>COUNTIFS('Parts Tracker'!$B$3:$B$14,B4,'Parts Tracker'!$AA$3:$AA$14,1)</f>
        <v>0</v>
      </c>
      <c r="G4" s="8">
        <f>E4-F4</f>
        <v>3</v>
      </c>
      <c r="H4" s="8" t="str">
        <f>IFERROR(INDEX('Parts Tracker'!$E$3:$E$14,MATCH(B4&amp;"|BN",'Parts Tracker'!$Z$3:$Z$14,0)),"-")</f>
        <v>Support Arm</v>
      </c>
      <c r="I4" s="7">
        <f>IFERROR(INDEX('Parts Tracker'!$S$3:$S$14,MATCH(B4&amp;"|BN",'Parts Tracker'!$Z$3:$Z$14,0)),"-")</f>
        <v>46283</v>
      </c>
      <c r="J4" s="8">
        <f ca="1">D4-TODAY()</f>
        <v>-11</v>
      </c>
      <c r="K4" s="8" t="str">
        <f ca="1">IF(F4=E4,"✅ Ready to Dispatch",IF(J4&lt;0,"🔴 Delayed",IF(J4&lt;=2,"🟠 At Risk","🟢 On Track")))</f>
        <v>🔴 Delayed</v>
      </c>
    </row>
    <row r="5" spans="1:11" x14ac:dyDescent="0.35">
      <c r="A5" s="5" t="s">
        <v>76</v>
      </c>
      <c r="B5" s="5" t="s">
        <v>77</v>
      </c>
      <c r="C5" s="5" t="s">
        <v>78</v>
      </c>
      <c r="D5" s="6">
        <v>46281</v>
      </c>
      <c r="E5" s="8">
        <f>COUNTIFS('Parts Tracker'!$B$3:$B$14,B5)</f>
        <v>2</v>
      </c>
      <c r="F5" s="8">
        <f>COUNTIFS('Parts Tracker'!$B$3:$B$14,B5,'Parts Tracker'!$AA$3:$AA$14,1)</f>
        <v>0</v>
      </c>
      <c r="G5" s="8">
        <f>E5-F5</f>
        <v>2</v>
      </c>
      <c r="H5" s="8" t="str">
        <f>IFERROR(INDEX('Parts Tracker'!$E$3:$E$14,MATCH(B5&amp;"|BN",'Parts Tracker'!$Z$3:$Z$14,0)),"-")</f>
        <v>Spoke Bracket</v>
      </c>
      <c r="I5" s="7">
        <f>IFERROR(INDEX('Parts Tracker'!$S$3:$S$14,MATCH(B5&amp;"|BN",'Parts Tracker'!$Z$3:$Z$14,0)),"-")</f>
        <v>46282</v>
      </c>
      <c r="J5" s="8">
        <f ca="1">D5-TODAY()</f>
        <v>-10</v>
      </c>
      <c r="K5" s="8" t="str">
        <f ca="1">IF(F5=E5,"✅ Ready to Dispatch",IF(J5&lt;0,"🔴 Delayed",IF(J5&lt;=2,"🟠 At Risk","🟢 On Track")))</f>
        <v>🔴 Delayed</v>
      </c>
    </row>
    <row r="6" spans="1:11" x14ac:dyDescent="0.35">
      <c r="A6" s="5" t="s">
        <v>82</v>
      </c>
      <c r="B6" s="5" t="s">
        <v>83</v>
      </c>
      <c r="C6" s="5" t="s">
        <v>84</v>
      </c>
      <c r="D6" s="6">
        <v>46279</v>
      </c>
      <c r="E6" s="8">
        <f>COUNTIFS('Parts Tracker'!$B$3:$B$14,B6)</f>
        <v>2</v>
      </c>
      <c r="F6" s="8">
        <f>COUNTIFS('Parts Tracker'!$B$3:$B$14,B6,'Parts Tracker'!$AA$3:$AA$14,1)</f>
        <v>0</v>
      </c>
      <c r="G6" s="8">
        <f>E6-F6</f>
        <v>2</v>
      </c>
      <c r="H6" s="8" t="str">
        <f>IFERROR(INDEX('Parts Tracker'!$E$3:$E$14,MATCH(B6&amp;"|BN",'Parts Tracker'!$Z$3:$Z$14,0)),"-")</f>
        <v>Mount Base</v>
      </c>
      <c r="I6" s="7">
        <f>IFERROR(INDEX('Parts Tracker'!$S$3:$S$14,MATCH(B6&amp;"|BN",'Parts Tracker'!$Z$3:$Z$14,0)),"-")</f>
        <v>46281</v>
      </c>
      <c r="J6" s="8">
        <f ca="1">D6-TODAY()</f>
        <v>-12</v>
      </c>
      <c r="K6" s="8" t="str">
        <f ca="1">IF(F6=E6,"✅ Ready to Dispatch",IF(J6&lt;0,"🔴 Delayed",IF(J6&lt;=2,"🟠 At Risk","🟢 On Track")))</f>
        <v>🔴 Delayed</v>
      </c>
    </row>
    <row r="8" spans="1:11" x14ac:dyDescent="0.35">
      <c r="B8" s="10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24" customWidth="1"/>
    <col min="4" max="4" width="14" customWidth="1"/>
    <col min="5" max="5" width="16" customWidth="1"/>
  </cols>
  <sheetData>
    <row r="1" spans="1:5" ht="30" customHeight="1" x14ac:dyDescent="0.35">
      <c r="A1" s="4" t="s">
        <v>33</v>
      </c>
      <c r="B1" s="4" t="s">
        <v>98</v>
      </c>
      <c r="C1" s="4" t="s">
        <v>99</v>
      </c>
      <c r="D1" s="4" t="s">
        <v>100</v>
      </c>
      <c r="E1" s="4" t="s">
        <v>101</v>
      </c>
    </row>
    <row r="2" spans="1:5" x14ac:dyDescent="0.35">
      <c r="A2" s="5" t="s">
        <v>59</v>
      </c>
      <c r="B2" s="5" t="s">
        <v>25</v>
      </c>
      <c r="C2" s="8">
        <f>COUNTIFS('Parts Tracker'!$J$3:$J$14,A2,'Parts Tracker'!$L$3:$L$14,"")</f>
        <v>3</v>
      </c>
      <c r="D2" s="7">
        <f>IF(C2=0,"-",_xlfn.MINIFS('Parts Tracker'!$K$3:$K$14,'Parts Tracker'!$J$3:$J$14,A2,'Parts Tracker'!$L$3:$L$14,""))</f>
        <v>46276</v>
      </c>
      <c r="E2" s="8" t="str">
        <f t="shared" ref="E2:E12" si="0">IF(C2&gt;=3,"🔴 Overloaded",IF(C2&gt;=1,"🟠 Busy","🟢 Available"))</f>
        <v>🔴 Overloaded</v>
      </c>
    </row>
    <row r="3" spans="1:5" x14ac:dyDescent="0.35">
      <c r="A3" s="5" t="s">
        <v>50</v>
      </c>
      <c r="B3" s="5" t="s">
        <v>24</v>
      </c>
      <c r="C3" s="8">
        <f>COUNTIFS('Parts Tracker'!$F$3:$F$14,A3,'Parts Tracker'!$I$3:$I$14,"")</f>
        <v>2</v>
      </c>
      <c r="D3" s="7">
        <f>IF(C3=0,"-",_xlfn.MINIFS('Parts Tracker'!$H$3:$H$14,'Parts Tracker'!$F$3:$F$14,A3,'Parts Tracker'!$I$3:$I$14,""))</f>
        <v>46276</v>
      </c>
      <c r="E3" s="8" t="str">
        <f t="shared" si="0"/>
        <v>🟠 Busy</v>
      </c>
    </row>
    <row r="4" spans="1:5" x14ac:dyDescent="0.35">
      <c r="A4" s="5" t="s">
        <v>58</v>
      </c>
      <c r="B4" s="5" t="s">
        <v>24</v>
      </c>
      <c r="C4" s="8">
        <f>COUNTIFS('Parts Tracker'!$F$3:$F$14,A4,'Parts Tracker'!$I$3:$I$14,"")</f>
        <v>1</v>
      </c>
      <c r="D4" s="7">
        <f>IF(C4=0,"-",_xlfn.MINIFS('Parts Tracker'!$H$3:$H$14,'Parts Tracker'!$F$3:$F$14,A4,'Parts Tracker'!$I$3:$I$14,""))</f>
        <v>46276</v>
      </c>
      <c r="E4" s="8" t="str">
        <f t="shared" si="0"/>
        <v>🟠 Busy</v>
      </c>
    </row>
    <row r="5" spans="1:5" x14ac:dyDescent="0.35">
      <c r="A5" s="5" t="s">
        <v>55</v>
      </c>
      <c r="B5" s="5" t="s">
        <v>26</v>
      </c>
      <c r="C5" s="8">
        <f>COUNTIFS('Parts Tracker'!$M$3:$M$14,A5,'Parts Tracker'!$O$3:$O$14,"")</f>
        <v>0</v>
      </c>
      <c r="D5" s="7" t="str">
        <f>IF(C5=0,"-",_xlfn.MINIFS('Parts Tracker'!$N$3:$N$14,'Parts Tracker'!$M$3:$M$14,A5,'Parts Tracker'!$O$3:$O$14,""))</f>
        <v>-</v>
      </c>
      <c r="E5" s="8" t="str">
        <f t="shared" si="0"/>
        <v>🟢 Available</v>
      </c>
    </row>
    <row r="6" spans="1:5" x14ac:dyDescent="0.35">
      <c r="A6" s="5" t="s">
        <v>65</v>
      </c>
      <c r="B6" s="5" t="s">
        <v>26</v>
      </c>
      <c r="C6" s="8">
        <f>COUNTIFS('Parts Tracker'!$M$3:$M$14,A6,'Parts Tracker'!$O$3:$O$14,"")</f>
        <v>1</v>
      </c>
      <c r="D6" s="7">
        <f>IF(C6=0,"-",_xlfn.MINIFS('Parts Tracker'!$N$3:$N$14,'Parts Tracker'!$M$3:$M$14,A6,'Parts Tracker'!$O$3:$O$14,""))</f>
        <v>46281</v>
      </c>
      <c r="E6" s="8" t="str">
        <f t="shared" si="0"/>
        <v>🟠 Busy</v>
      </c>
    </row>
    <row r="7" spans="1:5" x14ac:dyDescent="0.35">
      <c r="A7" s="5" t="s">
        <v>51</v>
      </c>
      <c r="B7" s="5" t="s">
        <v>26</v>
      </c>
      <c r="C7" s="8">
        <f>COUNTIFS('Parts Tracker'!$M$3:$M$14,A7,'Parts Tracker'!$O$3:$O$14,"")</f>
        <v>0</v>
      </c>
      <c r="D7" s="7" t="str">
        <f>IF(C7=0,"-",_xlfn.MINIFS('Parts Tracker'!$N$3:$N$14,'Parts Tracker'!$M$3:$M$14,A7,'Parts Tracker'!$O$3:$O$14,""))</f>
        <v>-</v>
      </c>
      <c r="E7" s="8" t="str">
        <f t="shared" si="0"/>
        <v>🟢 Available</v>
      </c>
    </row>
    <row r="8" spans="1:5" x14ac:dyDescent="0.35">
      <c r="A8" s="5" t="s">
        <v>71</v>
      </c>
      <c r="B8" s="5" t="s">
        <v>26</v>
      </c>
      <c r="C8" s="8">
        <f>COUNTIFS('Parts Tracker'!$M$3:$M$14,A8,'Parts Tracker'!$O$3:$O$14,"")</f>
        <v>1</v>
      </c>
      <c r="D8" s="7">
        <f>IF(C8=0,"-",_xlfn.MINIFS('Parts Tracker'!$N$3:$N$14,'Parts Tracker'!$M$3:$M$14,A8,'Parts Tracker'!$O$3:$O$14,""))</f>
        <v>46279</v>
      </c>
      <c r="E8" s="8" t="str">
        <f t="shared" si="0"/>
        <v>🟠 Busy</v>
      </c>
    </row>
    <row r="9" spans="1:5" x14ac:dyDescent="0.35">
      <c r="A9" s="5" t="s">
        <v>75</v>
      </c>
      <c r="B9" s="5" t="s">
        <v>26</v>
      </c>
      <c r="C9" s="8">
        <f>COUNTIFS('Parts Tracker'!$M$3:$M$14,A9,'Parts Tracker'!$O$3:$O$14,"")</f>
        <v>1</v>
      </c>
      <c r="D9" s="7">
        <f>IF(C9=0,"-",_xlfn.MINIFS('Parts Tracker'!$N$3:$N$14,'Parts Tracker'!$M$3:$M$14,A9,'Parts Tracker'!$O$3:$O$14,""))</f>
        <v>46282</v>
      </c>
      <c r="E9" s="8" t="str">
        <f t="shared" si="0"/>
        <v>🟠 Busy</v>
      </c>
    </row>
    <row r="10" spans="1:5" x14ac:dyDescent="0.35">
      <c r="A10" s="5" t="s">
        <v>80</v>
      </c>
      <c r="B10" s="5" t="s">
        <v>26</v>
      </c>
      <c r="C10" s="8">
        <f>COUNTIFS('Parts Tracker'!$M$3:$M$14,A10,'Parts Tracker'!$O$3:$O$14,"")</f>
        <v>2</v>
      </c>
      <c r="D10" s="7">
        <f>IF(C10=0,"-",_xlfn.MINIFS('Parts Tracker'!$N$3:$N$14,'Parts Tracker'!$M$3:$M$14,A10,'Parts Tracker'!$O$3:$O$14,""))</f>
        <v>46278</v>
      </c>
      <c r="E10" s="8" t="str">
        <f t="shared" si="0"/>
        <v>🟠 Busy</v>
      </c>
    </row>
    <row r="11" spans="1:5" x14ac:dyDescent="0.35">
      <c r="A11" s="5" t="s">
        <v>86</v>
      </c>
      <c r="B11" s="5" t="s">
        <v>26</v>
      </c>
      <c r="C11" s="8">
        <f>COUNTIFS('Parts Tracker'!$M$3:$M$14,A11,'Parts Tracker'!$O$3:$O$14,"")</f>
        <v>1</v>
      </c>
      <c r="D11" s="7">
        <f>IF(C11=0,"-",_xlfn.MINIFS('Parts Tracker'!$N$3:$N$14,'Parts Tracker'!$M$3:$M$14,A11,'Parts Tracker'!$O$3:$O$14,""))</f>
        <v>46278</v>
      </c>
      <c r="E11" s="8" t="str">
        <f t="shared" si="0"/>
        <v>🟠 Busy</v>
      </c>
    </row>
    <row r="12" spans="1:5" x14ac:dyDescent="0.35">
      <c r="A12" s="5" t="s">
        <v>88</v>
      </c>
      <c r="B12" s="5" t="s">
        <v>26</v>
      </c>
      <c r="C12" s="8">
        <f>COUNTIFS('Parts Tracker'!$M$3:$M$14,A12,'Parts Tracker'!$O$3:$O$14,"")</f>
        <v>1</v>
      </c>
      <c r="D12" s="7">
        <f>IF(C12=0,"-",_xlfn.MINIFS('Parts Tracker'!$N$3:$N$14,'Parts Tracker'!$M$3:$M$14,A12,'Parts Tracker'!$O$3:$O$14,""))</f>
        <v>46280</v>
      </c>
      <c r="E12" s="8" t="str">
        <f t="shared" si="0"/>
        <v>🟠 Busy</v>
      </c>
    </row>
    <row r="14" spans="1:5" ht="168.5" x14ac:dyDescent="0.35">
      <c r="A14" s="11" t="s">
        <v>102</v>
      </c>
    </row>
  </sheetData>
  <conditionalFormatting sqref="E2:E20">
    <cfRule type="cellIs" dxfId="2" priority="2" operator="equal">
      <formula>"🟢 Available"</formula>
    </cfRule>
    <cfRule type="cellIs" dxfId="1" priority="3" operator="equal">
      <formula>"🟠 Busy"</formula>
    </cfRule>
    <cfRule type="cellIs" dxfId="0" priority="4" operator="equal">
      <formula>"🔴 Overloaded"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Parts Tracker</vt:lpstr>
      <vt:lpstr>Project Summary</vt:lpstr>
      <vt:lpstr>Machine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2026-09-13T14:45:38Z</dcterms:created>
  <dcterms:modified xsi:type="dcterms:W3CDTF">2026-09-26T17:05:21Z</dcterms:modified>
  <dc:language>en-US</dc:language>
</cp:coreProperties>
</file>